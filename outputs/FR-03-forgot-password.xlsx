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S-02" sheetId="3" state="visible" r:id="rId3"/>
    <sheet xmlns:r="http://schemas.openxmlformats.org/officeDocument/2006/relationships" name="Truy vết" sheetId="4" state="visible" r:id="rId4"/>
    <sheet xmlns:r="http://schemas.openxmlformats.org/officeDocument/2006/relationships" name="Checklist" sheetId="5" state="visible" r:id="rId5"/>
  </sheets>
  <definedNames>
    <definedName name="_xlnm._FilterDatabase" localSheetId="1" hidden="1">'Test Cases'!$A$1:$P$12</definedName>
    <definedName name="_xlnm.Print_Titles" localSheetId="1">'Test Cases'!$1:$1</definedName>
    <definedName name="_xlnm._FilterDatabase" localSheetId="2" hidden="1">'TS-02'!$A$11:$N$19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b val="1"/>
      <color rgb="001F4E79"/>
      <sz val="13"/>
    </font>
    <font>
      <b val="1"/>
    </font>
    <font>
      <b val="1"/>
      <color rgb="001F4E79"/>
    </font>
    <font>
      <i val="1"/>
    </font>
    <font>
      <b val="1"/>
      <color rgb="001F4E79"/>
      <sz val="16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C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  <border>
      <left style="thin">
        <color rgb="00A6A6A6"/>
      </left>
      <right style="thin">
        <color rgb="00A6A6A6"/>
      </right>
      <top/>
      <bottom style="medium">
        <color rgb="001F4E7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0" borderId="0" pivotButton="0" quotePrefix="0" xfId="0"/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5" pivotButton="0" quotePrefix="0" xfId="0"/>
    <xf numFmtId="0" fontId="3" fillId="0" borderId="6" applyAlignment="1" pivotButton="0" quotePrefix="0" xfId="0">
      <alignment horizontal="center" vertical="top" wrapText="1"/>
    </xf>
    <xf numFmtId="0" fontId="3" fillId="0" borderId="6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6" applyAlignment="1" pivotButton="0" quotePrefix="0" xfId="0">
      <alignment horizontal="center" vertical="top" wrapText="1"/>
    </xf>
    <xf numFmtId="0" fontId="3" fillId="3" borderId="6" applyAlignment="1" pivotButton="0" quotePrefix="0" xfId="0">
      <alignment vertical="top" wrapText="1"/>
    </xf>
    <xf numFmtId="0" fontId="2" fillId="3" borderId="6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bottom" textRotation="90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CE6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Tài liệu test case — FR-03 Quên mật khẩu và đặt lại mật khẩu</t>
        </is>
      </c>
    </row>
    <row r="3">
      <c r="A3" s="2" t="inlineStr">
        <is>
          <t>Mã tài liệu</t>
        </is>
      </c>
      <c r="B3" s="3" t="inlineStr">
        <is>
          <t>TCD-FR03-01</t>
        </is>
      </c>
    </row>
    <row r="4">
      <c r="A4" s="2" t="inlineStr">
        <is>
          <t>Dự án / Hệ thống</t>
        </is>
      </c>
      <c r="B4" s="3" t="inlineStr">
        <is>
          <t>EShop SUT 2627</t>
        </is>
      </c>
    </row>
    <row r="5">
      <c r="A5" s="2" t="inlineStr">
        <is>
          <t>Chức năng</t>
        </is>
      </c>
      <c r="B5" s="3" t="inlineStr">
        <is>
          <t>Quên mật khẩu và đặt lại mật khẩu (2 bước)</t>
        </is>
      </c>
    </row>
    <row r="6">
      <c r="A6" s="2" t="inlineStr">
        <is>
          <t>Phiên bản</t>
        </is>
      </c>
      <c r="B6" s="3" t="inlineStr">
        <is>
          <t>1.0</t>
        </is>
      </c>
    </row>
    <row r="7">
      <c r="A7" s="2" t="inlineStr">
        <is>
          <t>Ngày</t>
        </is>
      </c>
      <c r="B7" s="3" t="inlineStr">
        <is>
          <t>2026-10-15</t>
        </is>
      </c>
    </row>
    <row r="8">
      <c r="A8" s="2" t="inlineStr">
        <is>
          <t>Người viết</t>
        </is>
      </c>
      <c r="B8" s="3" t="inlineStr">
        <is>
          <t>VÕ THIỆN NHÂN</t>
        </is>
      </c>
    </row>
    <row r="9">
      <c r="A9" s="2" t="inlineStr">
        <is>
          <t>Phiên bản phần mềm được test</t>
        </is>
      </c>
      <c r="B9" s="3" t="inlineStr">
        <is>
          <t>EShop SUT 2627 — phiên bản kiểm thử</t>
        </is>
      </c>
    </row>
    <row r="10">
      <c r="A10" s="2" t="inlineStr">
        <is>
          <t>Môi trường</t>
        </is>
      </c>
      <c r="B10" s="3" t="inlineStr">
        <is>
          <t>Môi trường demo EShop, trình duyệt web trên Windows</t>
        </is>
      </c>
    </row>
    <row r="12">
      <c r="A12" s="4" t="inlineStr">
        <is>
          <t>Theo trạng thái</t>
        </is>
      </c>
    </row>
    <row r="13">
      <c r="A13" s="2" t="inlineStr">
        <is>
          <t>Not run</t>
        </is>
      </c>
      <c r="B13" s="3">
        <f>COUNTIF('Test Cases'!$M$2:$M$12,"Not run")+COUNTIF('TS-02'!$M$12:$M$19,"Not run")</f>
        <v/>
      </c>
    </row>
    <row r="14">
      <c r="A14" s="2" t="inlineStr">
        <is>
          <t>Pass</t>
        </is>
      </c>
      <c r="B14" s="3">
        <f>COUNTIF('Test Cases'!$M$2:$M$12,"Pass")+COUNTIF('TS-02'!$M$12:$M$19,"Pass")</f>
        <v/>
      </c>
    </row>
    <row r="15">
      <c r="A15" s="2" t="inlineStr">
        <is>
          <t>Fail</t>
        </is>
      </c>
      <c r="B15" s="3">
        <f>COUNTIF('Test Cases'!$M$2:$M$12,"Fail")+COUNTIF('TS-02'!$M$12:$M$19,"Fail")</f>
        <v/>
      </c>
    </row>
    <row r="16">
      <c r="A16" s="2" t="inlineStr">
        <is>
          <t>Blocked</t>
        </is>
      </c>
      <c r="B16" s="3">
        <f>COUNTIF('Test Cases'!$M$2:$M$12,"Blocked")+COUNTIF('TS-02'!$M$12:$M$19,"Blocked")</f>
        <v/>
      </c>
    </row>
    <row r="17">
      <c r="A17" s="2" t="inlineStr">
        <is>
          <t>Skipped</t>
        </is>
      </c>
      <c r="B17" s="3">
        <f>COUNTIF('Test Cases'!$M$2:$M$12,"Skipped")+COUNTIF('TS-02'!$M$12:$M$19,"Skipped")</f>
        <v/>
      </c>
    </row>
    <row r="18">
      <c r="A18" s="2" t="inlineStr">
        <is>
          <t>Tổng số test case</t>
        </is>
      </c>
      <c r="B18" s="5">
        <f>SUM(B13:B17)</f>
        <v/>
      </c>
    </row>
    <row r="20">
      <c r="A20" s="4" t="inlineStr">
        <is>
          <t>Tổng hợp test case</t>
        </is>
      </c>
    </row>
    <row r="21">
      <c r="A21" s="2" t="inlineStr">
        <is>
          <t>TS-01</t>
        </is>
      </c>
      <c r="B21" s="3" t="inlineStr">
        <is>
          <t>Quên mật khẩu — luồng giao diện hai bước — Từng bước (step-by-step) — 4 TC</t>
        </is>
      </c>
    </row>
    <row r="22">
      <c r="A22" s="2" t="inlineStr">
        <is>
          <t>TS-02</t>
        </is>
      </c>
      <c r="B22" s="3" t="inlineStr">
        <is>
          <t>Quên mật khẩu — phân hoạch tương đương và giá trị biên — Ma trận dữ liệu (data matrix) — 8 TC</t>
        </is>
      </c>
    </row>
    <row r="24">
      <c r="A24" s="4" t="inlineStr">
        <is>
          <t>Quy ước đặt tên và trình bày</t>
        </is>
      </c>
    </row>
    <row r="25">
      <c r="A25" t="inlineStr">
        <is>
          <t>• Mã test case: TC-&lt;MÔ-ĐUN&gt;-&lt;số thứ tự 2–3 chữ số&gt;, ví dụ TC-LOGIN-003.</t>
        </is>
      </c>
    </row>
    <row r="26">
      <c r="A26" t="inlineStr">
        <is>
          <t>• Tiêu đề theo cú pháp Hành động + Chức năng + Điều kiện (Action + Function + Condition).</t>
        </is>
      </c>
    </row>
    <row r="27">
      <c r="A27" t="inlineStr">
        <is>
          <t>• Mỗi test case một mục tiêu, dữ liệu cụ thể, kết quả mong đợi kiểm chứng được.</t>
        </is>
      </c>
    </row>
    <row r="28">
      <c r="A28" t="inlineStr">
        <is>
          <t>• Trạng thái: Not run / Pass / Fail / Blocked / Skipped.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9" customWidth="1" min="4" max="4"/>
    <col width="11" customWidth="1" min="5" max="5"/>
    <col width="28" customWidth="1" min="6" max="6"/>
    <col width="18" customWidth="1" min="7" max="7"/>
    <col width="4" customWidth="1" min="8" max="8"/>
    <col width="36" customWidth="1" min="9" max="9"/>
    <col width="36" customWidth="1" min="10" max="10"/>
    <col width="22" customWidth="1" min="11" max="11"/>
    <col width="20" customWidth="1" min="12" max="12"/>
    <col width="10" customWidth="1" min="13" max="13"/>
    <col width="10" customWidth="1" min="14" max="14"/>
    <col width="18" customWidth="1" min="15" max="15"/>
    <col width="8" customWidth="1" min="16" max="16"/>
  </cols>
  <sheetData>
    <row r="1" ht="30" customHeight="1">
      <c r="A1" s="6" t="inlineStr">
        <is>
          <t>ID</t>
        </is>
      </c>
      <c r="B1" s="6" t="inlineStr">
        <is>
          <t>Tiêu đề</t>
        </is>
      </c>
      <c r="C1" s="6" t="inlineStr">
        <is>
          <t>Truy vết yêu cầu</t>
        </is>
      </c>
      <c r="D1" s="6" t="inlineStr">
        <is>
          <t>Ưu tiên</t>
        </is>
      </c>
      <c r="E1" s="6" t="inlineStr">
        <is>
          <t>Loại</t>
        </is>
      </c>
      <c r="F1" s="6" t="inlineStr">
        <is>
          <t>Thiết lập / Tiền điều kiện</t>
        </is>
      </c>
      <c r="G1" s="6" t="inlineStr">
        <is>
          <t>Dữ liệu test</t>
        </is>
      </c>
      <c r="H1" s="6" t="inlineStr">
        <is>
          <t>#</t>
        </is>
      </c>
      <c r="I1" s="6" t="inlineStr">
        <is>
          <t>Hành động</t>
        </is>
      </c>
      <c r="J1" s="6" t="inlineStr">
        <is>
          <t>Kết quả mong đợi</t>
        </is>
      </c>
      <c r="K1" s="6" t="inlineStr">
        <is>
          <t>Dọn dẹp (self-cleaning)</t>
        </is>
      </c>
      <c r="L1" s="6" t="inlineStr">
        <is>
          <t>Kết quả thực tế</t>
        </is>
      </c>
      <c r="M1" s="6" t="inlineStr">
        <is>
          <t>Trạng thái</t>
        </is>
      </c>
      <c r="N1" s="6" t="inlineStr">
        <is>
          <t>Mã lỗi</t>
        </is>
      </c>
      <c r="O1" s="6" t="inlineStr">
        <is>
          <t>Ghi chú</t>
        </is>
      </c>
      <c r="P1" s="6" t="inlineStr">
        <is>
          <t>Bộ test</t>
        </is>
      </c>
    </row>
    <row r="2" ht="32" customHeight="1">
      <c r="A2" s="5" t="inlineStr">
        <is>
          <t>TC-FR03-01</t>
        </is>
      </c>
      <c r="B2" s="3" t="inlineStr">
        <is>
          <t>Kiểm tra yêu cầu OTP 6 chữ số với email đã đăng ký</t>
        </is>
      </c>
      <c r="C2" s="3" t="inlineStr">
        <is>
          <t>FR-03.1, FR-03.2</t>
        </is>
      </c>
      <c r="D2" s="7" t="inlineStr">
        <is>
          <t>High</t>
        </is>
      </c>
      <c r="E2" s="3" t="inlineStr">
        <is>
          <t>Positive</t>
        </is>
      </c>
      <c r="F2" s="3" t="inlineStr">
        <is>
          <t>Trình duyệt đã mở trang Quên mật khẩu
Tài khoản test@eshop.com tồn tại
Không sử dụng OTP của phiên yêu cầu trước</t>
        </is>
      </c>
      <c r="G2" s="3" t="inlineStr">
        <is>
          <t>Email = test@eshop.com</t>
        </is>
      </c>
      <c r="H2" s="7" t="n">
        <v>1</v>
      </c>
      <c r="I2" s="3" t="inlineStr">
        <is>
          <t>Mở trang Quên mật khẩu</t>
        </is>
      </c>
      <c r="J2" s="3" t="inlineStr">
        <is>
          <t>Trang hiển thị trường Email, nút yêu cầu mã và liên kết 'Quay lại đăng nhập'.</t>
        </is>
      </c>
      <c r="K2" s="3" t="inlineStr">
        <is>
          <t>Không lưu dữ liệu lâu dài; bỏ phiên reset hiện tại sau khi kết thúc case.</t>
        </is>
      </c>
      <c r="L2" s="3" t="inlineStr"/>
      <c r="M2" s="7" t="inlineStr">
        <is>
          <t>Not run</t>
        </is>
      </c>
      <c r="N2" s="3" t="inlineStr"/>
      <c r="O2" s="3" t="inlineStr"/>
      <c r="P2" s="7" t="inlineStr">
        <is>
          <t>TS-01</t>
        </is>
      </c>
    </row>
    <row r="3" ht="32" customHeight="1">
      <c r="A3" s="8" t="n"/>
      <c r="B3" s="8" t="n"/>
      <c r="C3" s="8" t="n"/>
      <c r="D3" s="8" t="n"/>
      <c r="E3" s="8" t="n"/>
      <c r="F3" s="8" t="n"/>
      <c r="G3" s="8" t="n"/>
      <c r="H3" s="7" t="n">
        <v>2</v>
      </c>
      <c r="I3" s="3" t="inlineStr">
        <is>
          <t>Nhập test@eshop.com vào trường Email</t>
        </is>
      </c>
      <c r="J3" s="3" t="inlineStr">
        <is>
          <t>Trường Email hiển thị đúng test@eshop.com.</t>
        </is>
      </c>
      <c r="K3" s="8" t="n"/>
      <c r="L3" s="8" t="n"/>
      <c r="M3" s="8" t="n"/>
      <c r="N3" s="8" t="n"/>
      <c r="O3" s="8" t="n"/>
      <c r="P3" s="8" t="n"/>
    </row>
    <row r="4" ht="116" customHeight="1">
      <c r="A4" s="9" t="n"/>
      <c r="B4" s="9" t="n"/>
      <c r="C4" s="9" t="n"/>
      <c r="D4" s="9" t="n"/>
      <c r="E4" s="9" t="n"/>
      <c r="F4" s="9" t="n"/>
      <c r="G4" s="9" t="n"/>
      <c r="H4" s="10" t="n">
        <v>3</v>
      </c>
      <c r="I4" s="11" t="inlineStr">
        <is>
          <t>Nhấn nút yêu cầu mã OTP</t>
        </is>
      </c>
      <c r="J4" s="11" t="inlineStr">
        <is>
          <t>Hệ thống tạo một mã gồm đúng 6 chữ số; mã được hiển thị trực tiếp trong môi trường demo hoặc thông báo mã đã được gửi; giao diện hiển thị chỉ báo 'Bước 1 / 2' hoặc tương đương.
⇒ Một OTP gồm đúng 6 chữ số được tạo cho test@eshop.com và giao diện có chỉ báo bước 1 trong 2 bước.</t>
        </is>
      </c>
      <c r="K4" s="9" t="n"/>
      <c r="L4" s="9" t="n"/>
      <c r="M4" s="9" t="n"/>
      <c r="N4" s="9" t="n"/>
      <c r="O4" s="9" t="n"/>
      <c r="P4" s="9" t="n"/>
    </row>
    <row r="5" ht="32" customHeight="1">
      <c r="A5" s="12" t="inlineStr">
        <is>
          <t>TC-FR03-02</t>
        </is>
      </c>
      <c r="B5" s="13" t="inlineStr">
        <is>
          <t>Kiểm tra đặt lại mật khẩu với OTP hợp lệ và mật khẩu mạnh khớp nhau</t>
        </is>
      </c>
      <c r="C5" s="13" t="inlineStr">
        <is>
          <t>FR-03.3, FR-03.5</t>
        </is>
      </c>
      <c r="D5" s="14" t="inlineStr">
        <is>
          <t>High</t>
        </is>
      </c>
      <c r="E5" s="13" t="inlineStr">
        <is>
          <t>Positive</t>
        </is>
      </c>
      <c r="F5" s="13" t="inlineStr">
        <is>
          <t>Đã yêu cầu OTP mới cho test@eshop.com trong cùng phiên test
Có OTP 6 chữ số do hệ thống vừa sinh
Đang ở bước đặt lại mật khẩu</t>
        </is>
      </c>
      <c r="G5" s="13" t="inlineStr">
        <is>
          <t>Email = test@eshop.com; OTP = mã 6 chữ số vừa nhận; Mật khẩu mới = ResetPass1!; Xác nhận = ResetPass1!</t>
        </is>
      </c>
      <c r="H5" s="14" t="n">
        <v>1</v>
      </c>
      <c r="I5" s="13" t="inlineStr">
        <is>
          <t>Nhập OTP 6 chữ số vừa nhận vào trường OTP</t>
        </is>
      </c>
      <c r="J5" s="13" t="inlineStr">
        <is>
          <t>Trường OTP nhận đủ 6 chữ số đã nhập.</t>
        </is>
      </c>
      <c r="K5" s="13" t="inlineStr">
        <is>
          <t>Đăng nhập bằng mật khẩu mới và đổi về mật khẩu test ban đầu nếu môi trường cho phép; nếu không, khôi phục database test.</t>
        </is>
      </c>
      <c r="L5" s="13" t="inlineStr"/>
      <c r="M5" s="14" t="inlineStr">
        <is>
          <t>Not run</t>
        </is>
      </c>
      <c r="N5" s="13" t="inlineStr"/>
      <c r="O5" s="13" t="inlineStr"/>
      <c r="P5" s="14" t="inlineStr">
        <is>
          <t>TS-01</t>
        </is>
      </c>
    </row>
    <row r="6" ht="46" customHeight="1">
      <c r="A6" s="8" t="n"/>
      <c r="B6" s="8" t="n"/>
      <c r="C6" s="8" t="n"/>
      <c r="D6" s="8" t="n"/>
      <c r="E6" s="8" t="n"/>
      <c r="F6" s="8" t="n"/>
      <c r="G6" s="8" t="n"/>
      <c r="H6" s="14" t="n">
        <v>2</v>
      </c>
      <c r="I6" s="13" t="inlineStr">
        <is>
          <t>Nhập ResetPass1! vào trường Mật khẩu mới</t>
        </is>
      </c>
      <c r="J6" s="13" t="inlineStr">
        <is>
          <t>Trường Mật khẩu mới che nội dung; giá trị có ít nhất 8 ký tự, chữ hoa, chữ thường, chữ số và ký tự đặc biệt.</t>
        </is>
      </c>
      <c r="K6" s="8" t="n"/>
      <c r="L6" s="8" t="n"/>
      <c r="M6" s="8" t="n"/>
      <c r="N6" s="8" t="n"/>
      <c r="O6" s="8" t="n"/>
      <c r="P6" s="8" t="n"/>
    </row>
    <row r="7" ht="32" customHeight="1">
      <c r="A7" s="8" t="n"/>
      <c r="B7" s="8" t="n"/>
      <c r="C7" s="8" t="n"/>
      <c r="D7" s="8" t="n"/>
      <c r="E7" s="8" t="n"/>
      <c r="F7" s="8" t="n"/>
      <c r="G7" s="8" t="n"/>
      <c r="H7" s="14" t="n">
        <v>3</v>
      </c>
      <c r="I7" s="13" t="inlineStr">
        <is>
          <t>Nhập ResetPass1! vào trường Xác nhận mật khẩu mới</t>
        </is>
      </c>
      <c r="J7" s="13" t="inlineStr">
        <is>
          <t>Hai trường mật khẩu chứa cùng một giá trị.</t>
        </is>
      </c>
      <c r="K7" s="8" t="n"/>
      <c r="L7" s="8" t="n"/>
      <c r="M7" s="8" t="n"/>
      <c r="N7" s="8" t="n"/>
      <c r="O7" s="8" t="n"/>
      <c r="P7" s="8" t="n"/>
    </row>
    <row r="8" ht="102" customHeight="1">
      <c r="A8" s="9" t="n"/>
      <c r="B8" s="9" t="n"/>
      <c r="C8" s="9" t="n"/>
      <c r="D8" s="9" t="n"/>
      <c r="E8" s="9" t="n"/>
      <c r="F8" s="9" t="n"/>
      <c r="G8" s="9" t="n"/>
      <c r="H8" s="15" t="n">
        <v>4</v>
      </c>
      <c r="I8" s="16" t="inlineStr">
        <is>
          <t>Nhấn nút đặt lại mật khẩu</t>
        </is>
      </c>
      <c r="J8" s="16" t="inlineStr">
        <is>
          <t>Hệ thống chấp nhận yêu cầu cho đúng email và OTP; mật khẩu tài khoản được cập nhật, OTP không còn được dùng lại và không hiển thị lỗi xác nhận mật khẩu.
⇒ Mật khẩu được đặt lại thành công cho test@eshop.com; OTP của phiên này bị vô hiệu hóa sau khi dùng.</t>
        </is>
      </c>
      <c r="K8" s="9" t="n"/>
      <c r="L8" s="9" t="n"/>
      <c r="M8" s="9" t="n"/>
      <c r="N8" s="9" t="n"/>
      <c r="O8" s="9" t="n"/>
      <c r="P8" s="9" t="n"/>
    </row>
    <row r="9" ht="18" customHeight="1">
      <c r="A9" s="5" t="inlineStr">
        <is>
          <t>TC-FR03-03</t>
        </is>
      </c>
      <c r="B9" s="3" t="inlineStr">
        <is>
          <t>Kiểm tra từ chối đặt lại khi mật khẩu xác nhận không khớp</t>
        </is>
      </c>
      <c r="C9" s="3" t="inlineStr">
        <is>
          <t>FR-03.3, FR-03.4</t>
        </is>
      </c>
      <c r="D9" s="7" t="inlineStr">
        <is>
          <t>High</t>
        </is>
      </c>
      <c r="E9" s="3" t="inlineStr">
        <is>
          <t>Negative</t>
        </is>
      </c>
      <c r="F9" s="3" t="inlineStr">
        <is>
          <t>Đã yêu cầu OTP mới cho test@eshop.com
Đang ở bước đặt lại mật khẩu với OTP hợp lệ</t>
        </is>
      </c>
      <c r="G9" s="3" t="inlineStr">
        <is>
          <t>Mật khẩu mới = ResetPass1!; Xác nhận = ResetPass2!</t>
        </is>
      </c>
      <c r="H9" s="7" t="n">
        <v>1</v>
      </c>
      <c r="I9" s="3" t="inlineStr">
        <is>
          <t>Nhập OTP hợp lệ của test@eshop.com</t>
        </is>
      </c>
      <c r="J9" s="3" t="inlineStr">
        <is>
          <t>Trường OTP hiển thị đúng 6 chữ số.</t>
        </is>
      </c>
      <c r="K9" s="3" t="inlineStr">
        <is>
          <t>Không có dữ liệu mới được lưu; bỏ phiên reset hiện tại.</t>
        </is>
      </c>
      <c r="L9" s="3" t="inlineStr"/>
      <c r="M9" s="7" t="inlineStr">
        <is>
          <t>Not run</t>
        </is>
      </c>
      <c r="N9" s="3" t="inlineStr"/>
      <c r="O9" s="3" t="inlineStr"/>
      <c r="P9" s="7" t="inlineStr">
        <is>
          <t>TS-01</t>
        </is>
      </c>
    </row>
    <row r="10" ht="46" customHeight="1">
      <c r="A10" s="8" t="n"/>
      <c r="B10" s="8" t="n"/>
      <c r="C10" s="8" t="n"/>
      <c r="D10" s="8" t="n"/>
      <c r="E10" s="8" t="n"/>
      <c r="F10" s="8" t="n"/>
      <c r="G10" s="8" t="n"/>
      <c r="H10" s="7" t="n">
        <v>2</v>
      </c>
      <c r="I10" s="3" t="inlineStr">
        <is>
          <t>Nhập ResetPass1! vào trường Mật khẩu mới và ResetPass2! vào trường Xác nhận mật khẩu mới</t>
        </is>
      </c>
      <c r="J10" s="3" t="inlineStr">
        <is>
          <t>Hai trường mật khẩu hiển thị dạng che và có giá trị khác nhau.</t>
        </is>
      </c>
      <c r="K10" s="8" t="n"/>
      <c r="L10" s="8" t="n"/>
      <c r="M10" s="8" t="n"/>
      <c r="N10" s="8" t="n"/>
      <c r="O10" s="8" t="n"/>
      <c r="P10" s="8" t="n"/>
    </row>
    <row r="11" ht="74" customHeight="1">
      <c r="A11" s="9" t="n"/>
      <c r="B11" s="9" t="n"/>
      <c r="C11" s="9" t="n"/>
      <c r="D11" s="9" t="n"/>
      <c r="E11" s="9" t="n"/>
      <c r="F11" s="9" t="n"/>
      <c r="G11" s="9" t="n"/>
      <c r="H11" s="10" t="n">
        <v>3</v>
      </c>
      <c r="I11" s="11" t="inlineStr">
        <is>
          <t>Nhấn nút đặt lại mật khẩu</t>
        </is>
      </c>
      <c r="J11" s="11" t="inlineStr">
        <is>
          <t>Hệ thống từ chối yêu cầu vì hai mật khẩu không khớp; mật khẩu tài khoản không thay đổi.
⇒ Yêu cầu bị từ chối và mật khẩu tài khoản giữ nguyên.</t>
        </is>
      </c>
      <c r="K11" s="9" t="n"/>
      <c r="L11" s="9" t="n"/>
      <c r="M11" s="9" t="n"/>
      <c r="N11" s="9" t="n"/>
      <c r="O11" s="9" t="n"/>
      <c r="P11" s="9" t="n"/>
    </row>
    <row r="12" ht="74" customHeight="1">
      <c r="A12" s="17" t="inlineStr">
        <is>
          <t>TC-FR03-04</t>
        </is>
      </c>
      <c r="B12" s="16" t="inlineStr">
        <is>
          <t>Kiểm tra quay lại đăng nhập khi đang ở màn hình quên mật khẩu</t>
        </is>
      </c>
      <c r="C12" s="16" t="inlineStr">
        <is>
          <t>FR-03.2</t>
        </is>
      </c>
      <c r="D12" s="15" t="inlineStr">
        <is>
          <t>Medium</t>
        </is>
      </c>
      <c r="E12" s="16" t="inlineStr">
        <is>
          <t>Positive</t>
        </is>
      </c>
      <c r="F12" s="16" t="inlineStr">
        <is>
          <t>Trang Quên mật khẩu đã tải xong</t>
        </is>
      </c>
      <c r="G12" s="16" t="inlineStr">
        <is>
          <t>Không cần dữ liệu tài khoản</t>
        </is>
      </c>
      <c r="H12" s="15" t="n">
        <v>1</v>
      </c>
      <c r="I12" s="16" t="inlineStr">
        <is>
          <t>Nhấn liên kết 'Quay lại đăng nhập'</t>
        </is>
      </c>
      <c r="J12" s="16" t="inlineStr">
        <is>
          <t>Hệ thống điều hướng đến trang Đăng nhập và hiển thị trường Email cùng Mật khẩu.
⇒ Trang Đăng nhập được mở và không còn ở màn hình Quên mật khẩu.</t>
        </is>
      </c>
      <c r="K12" s="16" t="inlineStr">
        <is>
          <t>Để trình duyệt ở trang Đăng nhập.</t>
        </is>
      </c>
      <c r="L12" s="16" t="inlineStr"/>
      <c r="M12" s="15" t="inlineStr">
        <is>
          <t>Not run</t>
        </is>
      </c>
      <c r="N12" s="16" t="inlineStr"/>
      <c r="O12" s="16" t="inlineStr"/>
      <c r="P12" s="15" t="inlineStr">
        <is>
          <t>TS-01</t>
        </is>
      </c>
    </row>
  </sheetData>
  <autoFilter ref="A1:P12"/>
  <mergeCells count="39">
    <mergeCell ref="K5:K8"/>
    <mergeCell ref="C5:C8"/>
    <mergeCell ref="M5:M8"/>
    <mergeCell ref="A2:A4"/>
    <mergeCell ref="C2:C4"/>
    <mergeCell ref="K2:K4"/>
    <mergeCell ref="O2:O4"/>
    <mergeCell ref="O5:O8"/>
    <mergeCell ref="E5:E8"/>
    <mergeCell ref="F5:F8"/>
    <mergeCell ref="L9:L11"/>
    <mergeCell ref="D9:D11"/>
    <mergeCell ref="N9:N11"/>
    <mergeCell ref="F9:F11"/>
    <mergeCell ref="G9:G11"/>
    <mergeCell ref="L2:L4"/>
    <mergeCell ref="K9:K11"/>
    <mergeCell ref="L5:L8"/>
    <mergeCell ref="A9:A11"/>
    <mergeCell ref="G5:G8"/>
    <mergeCell ref="N5:N8"/>
    <mergeCell ref="M9:M11"/>
    <mergeCell ref="O9:O11"/>
    <mergeCell ref="G2:G4"/>
    <mergeCell ref="M2:M4"/>
    <mergeCell ref="A5:A8"/>
    <mergeCell ref="B2:B4"/>
    <mergeCell ref="D2:D4"/>
    <mergeCell ref="D5:D8"/>
    <mergeCell ref="P2:P4"/>
    <mergeCell ref="P9:P11"/>
    <mergeCell ref="B5:B8"/>
    <mergeCell ref="F2:F4"/>
    <mergeCell ref="N2:N4"/>
    <mergeCell ref="B9:B11"/>
    <mergeCell ref="P5:P8"/>
    <mergeCell ref="C9:C11"/>
    <mergeCell ref="E2:E4"/>
    <mergeCell ref="E9:E11"/>
  </mergeCells>
  <conditionalFormatting sqref="M2:M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M2:M12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0" customWidth="1" min="8" max="8"/>
    <col width="18" customWidth="1" min="9" max="9"/>
    <col width="11" customWidth="1" min="10" max="10"/>
    <col width="9" customWidth="1" min="11" max="11"/>
    <col width="20" customWidth="1" min="12" max="12"/>
    <col width="10" customWidth="1" min="13" max="13"/>
    <col width="10" customWidth="1" min="14" max="14"/>
  </cols>
  <sheetData>
    <row r="1">
      <c r="A1" s="18" t="inlineStr">
        <is>
          <t>TS-02 — Quên mật khẩu — phân hoạch tương đương và giá trị biên</t>
        </is>
      </c>
    </row>
    <row r="2">
      <c r="A2" s="19" t="inlineStr">
        <is>
          <t>Cùng một quy trình đặt lại, thay đổi OTP, email đích và mật khẩu để kiểm tra các miền dữ liệu FR-03.</t>
        </is>
      </c>
    </row>
    <row r="3">
      <c r="A3" s="20" t="inlineStr">
        <is>
          <t>Thiết lập / Tiền điều kiện</t>
        </is>
      </c>
      <c r="B3" s="19" t="inlineStr">
        <is>
          <t>Tài khoản test@eshop.com tồn tại; Mỗi dòng bắt đầu bằng một lần yêu cầu OTP mới cho Email yêu cầu; Đang ở bước đặt lại mật khẩu sau khi hệ thống hiển thị Step Indicator</t>
        </is>
      </c>
    </row>
    <row r="4">
      <c r="A4" s="21" t="inlineStr">
        <is>
          <t>Quy trình chung (áp dụng cho mọi dòng)</t>
        </is>
      </c>
    </row>
    <row r="5">
      <c r="A5" t="inlineStr">
        <is>
          <t>1. Yêu cầu OTP mới cho Email yêu cầu của dòng  →  Hệ thống tạo OTP cho email đã đăng ký và hiển thị luồng hai bước.</t>
        </is>
      </c>
    </row>
    <row r="6">
      <c r="A6" t="inlineStr">
        <is>
          <t>2. Nhập Email bước 2, OTP, Mật khẩu mới và Xác nhận mật khẩu mới theo dòng  →  Các trường nhận đúng dữ liệu; trường mật khẩu che nội dung.</t>
        </is>
      </c>
    </row>
    <row r="7">
      <c r="A7" t="inlineStr">
        <is>
          <t>3. Nhấn nút đặt lại mật khẩu  →  Kết quả chấp nhận hoặc từ chối đúng với cột Kết quả mong đợi của dòng; khi từ chối, mật khẩu không thay đổi.</t>
        </is>
      </c>
    </row>
    <row r="8">
      <c r="A8" t="inlineStr">
        <is>
          <t>4. Khôi phục dữ liệu tài khoản nếu dòng đặt lại mật khẩu thành công  →  Tài khoản trở về trạng thái ban đầu trước dòng kế tiếp.</t>
        </is>
      </c>
    </row>
    <row r="9">
      <c r="A9" s="22" t="inlineStr">
        <is>
          <t>Dọn dẹp (self-cleaning): Khôi phục mật khẩu test@eshop.com và bỏ mọi phiên reset còn lại sau khi chạy toàn bộ matrix.</t>
        </is>
      </c>
    </row>
    <row r="11" ht="30" customHeight="1">
      <c r="A11" s="6" t="inlineStr">
        <is>
          <t>ID</t>
        </is>
      </c>
      <c r="B11" s="6" t="inlineStr">
        <is>
          <t>Tiêu đề</t>
        </is>
      </c>
      <c r="C11" s="6" t="inlineStr">
        <is>
          <t>Email yêu cầu</t>
        </is>
      </c>
      <c r="D11" s="6" t="inlineStr">
        <is>
          <t>Email bước 2</t>
        </is>
      </c>
      <c r="E11" s="6" t="inlineStr">
        <is>
          <t>OTP</t>
        </is>
      </c>
      <c r="F11" s="6" t="inlineStr">
        <is>
          <t>Mật khẩu mới</t>
        </is>
      </c>
      <c r="G11" s="6" t="inlineStr">
        <is>
          <t>Xác nhận mật khẩu mới</t>
        </is>
      </c>
      <c r="H11" s="6" t="inlineStr">
        <is>
          <t>Kết quả mong đợi</t>
        </is>
      </c>
      <c r="I11" s="6" t="inlineStr">
        <is>
          <t>Bao phủ</t>
        </is>
      </c>
      <c r="J11" s="6" t="inlineStr">
        <is>
          <t>Truy vết yêu cầu</t>
        </is>
      </c>
      <c r="K11" s="6" t="inlineStr">
        <is>
          <t>Ưu tiên</t>
        </is>
      </c>
      <c r="L11" s="6" t="inlineStr">
        <is>
          <t>Kết quả thực tế</t>
        </is>
      </c>
      <c r="M11" s="6" t="inlineStr">
        <is>
          <t>Trạng thái</t>
        </is>
      </c>
      <c r="N11" s="6" t="inlineStr">
        <is>
          <t>Mã lỗi</t>
        </is>
      </c>
    </row>
    <row r="12" ht="60" customHeight="1">
      <c r="A12" s="5" t="inlineStr">
        <is>
          <t>TC-FR03-10</t>
        </is>
      </c>
      <c r="B12" s="3" t="inlineStr">
        <is>
          <t>Xác minh chấp nhận OTP 6 chữ số nhỏ nhất với mật khẩu mạnh</t>
        </is>
      </c>
      <c r="C12" s="7" t="inlineStr">
        <is>
          <t>test@eshop.com</t>
        </is>
      </c>
      <c r="D12" s="7" t="inlineStr">
        <is>
          <t>test@eshop.com</t>
        </is>
      </c>
      <c r="E12" s="7" t="inlineStr">
        <is>
          <t>000000</t>
        </is>
      </c>
      <c r="F12" s="7" t="inlineStr">
        <is>
          <t>ResetPass1!</t>
        </is>
      </c>
      <c r="G12" s="7" t="inlineStr">
        <is>
          <t>ResetPass1!</t>
        </is>
      </c>
      <c r="H12" s="3" t="inlineStr">
        <is>
          <t>Nếu 000000 là OTP hệ thống vừa sinh, yêu cầu được chấp nhận; mã có đúng 6 chữ số và mật khẩu được cập nhật.</t>
        </is>
      </c>
      <c r="I12" s="3" t="inlineStr">
        <is>
          <t>Giá trị biên thấp của miền OTP 6 chữ số; lớp mật khẩu mạnh khớp</t>
        </is>
      </c>
      <c r="J12" s="3" t="inlineStr">
        <is>
          <t>FR-03.1, FR-03.3</t>
        </is>
      </c>
      <c r="K12" s="3" t="inlineStr">
        <is>
          <t>High</t>
        </is>
      </c>
      <c r="L12" s="3" t="inlineStr"/>
      <c r="M12" s="7" t="inlineStr">
        <is>
          <t>Not run</t>
        </is>
      </c>
      <c r="N12" s="3" t="inlineStr"/>
    </row>
    <row r="13" ht="60" customHeight="1">
      <c r="A13" s="12" t="inlineStr">
        <is>
          <t>TC-FR03-11</t>
        </is>
      </c>
      <c r="B13" s="13" t="inlineStr">
        <is>
          <t>Xác minh chấp nhận OTP 6 chữ số lớn nhất với mật khẩu mạnh</t>
        </is>
      </c>
      <c r="C13" s="14" t="inlineStr">
        <is>
          <t>test@eshop.com</t>
        </is>
      </c>
      <c r="D13" s="14" t="inlineStr">
        <is>
          <t>test@eshop.com</t>
        </is>
      </c>
      <c r="E13" s="14" t="inlineStr">
        <is>
          <t>999999</t>
        </is>
      </c>
      <c r="F13" s="14" t="inlineStr">
        <is>
          <t>ResetPass1!</t>
        </is>
      </c>
      <c r="G13" s="14" t="inlineStr">
        <is>
          <t>ResetPass1!</t>
        </is>
      </c>
      <c r="H13" s="13" t="inlineStr">
        <is>
          <t>Nếu 999999 là OTP hệ thống vừa sinh, yêu cầu được chấp nhận; mã có đúng 6 chữ số và mật khẩu được cập nhật.</t>
        </is>
      </c>
      <c r="I13" s="13" t="inlineStr">
        <is>
          <t>Giá trị biên cao của miền OTP 6 chữ số; lớp mật khẩu mạnh khớp</t>
        </is>
      </c>
      <c r="J13" s="13" t="inlineStr">
        <is>
          <t>FR-03.1, FR-03.3</t>
        </is>
      </c>
      <c r="K13" s="13" t="inlineStr">
        <is>
          <t>High</t>
        </is>
      </c>
      <c r="L13" s="13" t="inlineStr"/>
      <c r="M13" s="14" t="inlineStr">
        <is>
          <t>Not run</t>
        </is>
      </c>
      <c r="N13" s="13" t="inlineStr"/>
    </row>
    <row r="14" ht="46" customHeight="1">
      <c r="A14" s="5" t="inlineStr">
        <is>
          <t>TC-FR03-12</t>
        </is>
      </c>
      <c r="B14" s="3" t="inlineStr">
        <is>
          <t>Xác minh từ chối OTP có 5 chữ số</t>
        </is>
      </c>
      <c r="C14" s="7" t="inlineStr">
        <is>
          <t>test@eshop.com</t>
        </is>
      </c>
      <c r="D14" s="7" t="inlineStr">
        <is>
          <t>test@eshop.com</t>
        </is>
      </c>
      <c r="E14" s="7" t="inlineStr">
        <is>
          <t>12345</t>
        </is>
      </c>
      <c r="F14" s="7" t="inlineStr">
        <is>
          <t>ResetPass1!</t>
        </is>
      </c>
      <c r="G14" s="7" t="inlineStr">
        <is>
          <t>ResetPass1!</t>
        </is>
      </c>
      <c r="H14" s="3" t="inlineStr">
        <is>
          <t>Hệ thống từ chối OTP vì không đủ 6 chữ số; mật khẩu không được cập nhật.</t>
        </is>
      </c>
      <c r="I14" s="3" t="inlineStr">
        <is>
          <t>Miền không hợp lệ dưới biên OTP</t>
        </is>
      </c>
      <c r="J14" s="3" t="inlineStr">
        <is>
          <t>FR-03.1, FR-03.3</t>
        </is>
      </c>
      <c r="K14" s="3" t="inlineStr">
        <is>
          <t>High</t>
        </is>
      </c>
      <c r="L14" s="3" t="inlineStr"/>
      <c r="M14" s="7" t="inlineStr">
        <is>
          <t>Not run</t>
        </is>
      </c>
      <c r="N14" s="3" t="inlineStr"/>
    </row>
    <row r="15" ht="46" customHeight="1">
      <c r="A15" s="12" t="inlineStr">
        <is>
          <t>TC-FR03-13</t>
        </is>
      </c>
      <c r="B15" s="13" t="inlineStr">
        <is>
          <t>Xác minh từ chối OTP có 7 chữ số</t>
        </is>
      </c>
      <c r="C15" s="14" t="inlineStr">
        <is>
          <t>test@eshop.com</t>
        </is>
      </c>
      <c r="D15" s="14" t="inlineStr">
        <is>
          <t>test@eshop.com</t>
        </is>
      </c>
      <c r="E15" s="14" t="inlineStr">
        <is>
          <t>1234567</t>
        </is>
      </c>
      <c r="F15" s="14" t="inlineStr">
        <is>
          <t>ResetPass1!</t>
        </is>
      </c>
      <c r="G15" s="14" t="inlineStr">
        <is>
          <t>ResetPass1!</t>
        </is>
      </c>
      <c r="H15" s="13" t="inlineStr">
        <is>
          <t>Hệ thống từ chối OTP vì vượt quá 6 chữ số; mật khẩu không được cập nhật.</t>
        </is>
      </c>
      <c r="I15" s="13" t="inlineStr">
        <is>
          <t>Miền không hợp lệ trên biên OTP</t>
        </is>
      </c>
      <c r="J15" s="13" t="inlineStr">
        <is>
          <t>FR-03.1, FR-03.3</t>
        </is>
      </c>
      <c r="K15" s="13" t="inlineStr">
        <is>
          <t>High</t>
        </is>
      </c>
      <c r="L15" s="13" t="inlineStr"/>
      <c r="M15" s="14" t="inlineStr">
        <is>
          <t>Not run</t>
        </is>
      </c>
      <c r="N15" s="13" t="inlineStr"/>
    </row>
    <row r="16" ht="46" customHeight="1">
      <c r="A16" s="5" t="inlineStr">
        <is>
          <t>TC-FR03-14</t>
        </is>
      </c>
      <c r="B16" s="3" t="inlineStr">
        <is>
          <t>Xác minh từ chối OTP khi chứa ký tự không phải chữ số</t>
        </is>
      </c>
      <c r="C16" s="7" t="inlineStr">
        <is>
          <t>test@eshop.com</t>
        </is>
      </c>
      <c r="D16" s="7" t="inlineStr">
        <is>
          <t>test@eshop.com</t>
        </is>
      </c>
      <c r="E16" s="7" t="inlineStr">
        <is>
          <t>12A456</t>
        </is>
      </c>
      <c r="F16" s="7" t="inlineStr">
        <is>
          <t>ResetPass1!</t>
        </is>
      </c>
      <c r="G16" s="7" t="inlineStr">
        <is>
          <t>ResetPass1!</t>
        </is>
      </c>
      <c r="H16" s="3" t="inlineStr">
        <is>
          <t>Hệ thống từ chối OTP vì chứa ký tự không phải chữ số; mật khẩu không được cập nhật.</t>
        </is>
      </c>
      <c r="I16" s="3" t="inlineStr">
        <is>
          <t>Miền OTP sai kiểu dữ liệu</t>
        </is>
      </c>
      <c r="J16" s="3" t="inlineStr">
        <is>
          <t>FR-03.1, FR-03.3</t>
        </is>
      </c>
      <c r="K16" s="3" t="inlineStr">
        <is>
          <t>High</t>
        </is>
      </c>
      <c r="L16" s="3" t="inlineStr"/>
      <c r="M16" s="7" t="inlineStr">
        <is>
          <t>Not run</t>
        </is>
      </c>
      <c r="N16" s="3" t="inlineStr"/>
    </row>
    <row r="17" ht="60" customHeight="1">
      <c r="A17" s="12" t="inlineStr">
        <is>
          <t>TC-FR03-15</t>
        </is>
      </c>
      <c r="B17" s="13" t="inlineStr">
        <is>
          <t>Xác minh từ chối OTP khi email bước 2 khác email yêu cầu</t>
        </is>
      </c>
      <c r="C17" s="14" t="inlineStr">
        <is>
          <t>test@eshop.com</t>
        </is>
      </c>
      <c r="D17" s="14" t="inlineStr">
        <is>
          <t>other@eshop.com</t>
        </is>
      </c>
      <c r="E17" s="14" t="inlineStr">
        <is>
          <t>OTP vừa sinh cho test@eshop.com</t>
        </is>
      </c>
      <c r="F17" s="14" t="inlineStr">
        <is>
          <t>ResetPass1!</t>
        </is>
      </c>
      <c r="G17" s="14" t="inlineStr">
        <is>
          <t>ResetPass1!</t>
        </is>
      </c>
      <c r="H17" s="13" t="inlineStr">
        <is>
          <t>Hệ thống từ chối yêu cầu vì OTP của test@eshop.com không hợp lệ cho other@eshop.com; mật khẩu của cả hai tài khoản không thay đổi.</t>
        </is>
      </c>
      <c r="I17" s="13" t="inlineStr">
        <is>
          <t>Ràng buộc liên kết OTP với email đã yêu cầu</t>
        </is>
      </c>
      <c r="J17" s="13" t="inlineStr">
        <is>
          <t>FR-03.5</t>
        </is>
      </c>
      <c r="K17" s="13" t="inlineStr">
        <is>
          <t>High</t>
        </is>
      </c>
      <c r="L17" s="13" t="inlineStr"/>
      <c r="M17" s="14" t="inlineStr">
        <is>
          <t>Not run</t>
        </is>
      </c>
      <c r="N17" s="13" t="inlineStr"/>
    </row>
    <row r="18" ht="46" customHeight="1">
      <c r="A18" s="5" t="inlineStr">
        <is>
          <t>TC-FR03-16</t>
        </is>
      </c>
      <c r="B18" s="3" t="inlineStr">
        <is>
          <t>Xác minh từ chối mật khẩu mới khi thiếu chữ hoa</t>
        </is>
      </c>
      <c r="C18" s="7" t="inlineStr">
        <is>
          <t>test@eshop.com</t>
        </is>
      </c>
      <c r="D18" s="7" t="inlineStr">
        <is>
          <t>test@eshop.com</t>
        </is>
      </c>
      <c r="E18" s="7" t="inlineStr">
        <is>
          <t>OTP hợp lệ hiện tại</t>
        </is>
      </c>
      <c r="F18" s="7" t="inlineStr">
        <is>
          <t>resetpass1!</t>
        </is>
      </c>
      <c r="G18" s="7" t="inlineStr">
        <is>
          <t>resetpass1!</t>
        </is>
      </c>
      <c r="H18" s="3" t="inlineStr">
        <is>
          <t>Hệ thống từ chối mật khẩu mới vì thiếu ít nhất một chữ hoa; mật khẩu tài khoản không thay đổi.</t>
        </is>
      </c>
      <c r="I18" s="3" t="inlineStr">
        <is>
          <t>Phân hoạch mật khẩu yếu — thiếu chữ hoa</t>
        </is>
      </c>
      <c r="J18" s="3" t="inlineStr">
        <is>
          <t>FR-03.3</t>
        </is>
      </c>
      <c r="K18" s="3" t="inlineStr">
        <is>
          <t>High</t>
        </is>
      </c>
      <c r="L18" s="3" t="inlineStr"/>
      <c r="M18" s="7" t="inlineStr">
        <is>
          <t>Not run</t>
        </is>
      </c>
      <c r="N18" s="3" t="inlineStr"/>
    </row>
    <row r="19" ht="60" customHeight="1">
      <c r="A19" s="12" t="inlineStr">
        <is>
          <t>TC-FR03-17</t>
        </is>
      </c>
      <c r="B19" s="13" t="inlineStr">
        <is>
          <t>Xác minh từ chối mật khẩu mới khi ngắn hơn 8 ký tự</t>
        </is>
      </c>
      <c r="C19" s="14" t="inlineStr">
        <is>
          <t>test@eshop.com</t>
        </is>
      </c>
      <c r="D19" s="14" t="inlineStr">
        <is>
          <t>test@eshop.com</t>
        </is>
      </c>
      <c r="E19" s="14" t="inlineStr">
        <is>
          <t>OTP hợp lệ hiện tại</t>
        </is>
      </c>
      <c r="F19" s="14" t="inlineStr">
        <is>
          <t>Aa1!bbb</t>
        </is>
      </c>
      <c r="G19" s="14" t="inlineStr">
        <is>
          <t>Aa1!bbb</t>
        </is>
      </c>
      <c r="H19" s="13" t="inlineStr">
        <is>
          <t>Hệ thống từ chối mật khẩu mới vì có 7 ký tự, nhỏ hơn tối thiểu 8 ký tự; mật khẩu tài khoản không thay đổi.</t>
        </is>
      </c>
      <c r="I19" s="13" t="inlineStr">
        <is>
          <t>Giá trị biên dưới độ dài mật khẩu tối thiểu</t>
        </is>
      </c>
      <c r="J19" s="13" t="inlineStr">
        <is>
          <t>FR-03.3</t>
        </is>
      </c>
      <c r="K19" s="13" t="inlineStr">
        <is>
          <t>High</t>
        </is>
      </c>
      <c r="L19" s="13" t="inlineStr"/>
      <c r="M19" s="14" t="inlineStr">
        <is>
          <t>Not run</t>
        </is>
      </c>
      <c r="N19" s="13" t="inlineStr"/>
    </row>
  </sheetData>
  <autoFilter ref="A11:N19"/>
  <conditionalFormatting sqref="M12:M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M12:M19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 ht="90" customHeight="1">
      <c r="A1" s="6" t="inlineStr">
        <is>
          <t>Mã yêu cầu</t>
        </is>
      </c>
      <c r="B1" s="6" t="inlineStr">
        <is>
          <t>Nội dung yêu cầu</t>
        </is>
      </c>
      <c r="C1" s="6" t="inlineStr">
        <is>
          <t>#TC</t>
        </is>
      </c>
      <c r="D1" s="23" t="inlineStr">
        <is>
          <t>TC-FR03-01</t>
        </is>
      </c>
      <c r="E1" s="23" t="inlineStr">
        <is>
          <t>TC-FR03-02</t>
        </is>
      </c>
      <c r="F1" s="23" t="inlineStr">
        <is>
          <t>TC-FR03-03</t>
        </is>
      </c>
      <c r="G1" s="23" t="inlineStr">
        <is>
          <t>TC-FR03-04</t>
        </is>
      </c>
      <c r="H1" s="23" t="inlineStr">
        <is>
          <t>TC-FR03-10</t>
        </is>
      </c>
      <c r="I1" s="23" t="inlineStr">
        <is>
          <t>TC-FR03-11</t>
        </is>
      </c>
      <c r="J1" s="23" t="inlineStr">
        <is>
          <t>TC-FR03-12</t>
        </is>
      </c>
      <c r="K1" s="23" t="inlineStr">
        <is>
          <t>TC-FR03-13</t>
        </is>
      </c>
      <c r="L1" s="23" t="inlineStr">
        <is>
          <t>TC-FR03-14</t>
        </is>
      </c>
      <c r="M1" s="23" t="inlineStr">
        <is>
          <t>TC-FR03-15</t>
        </is>
      </c>
      <c r="N1" s="23" t="inlineStr">
        <is>
          <t>TC-FR03-16</t>
        </is>
      </c>
      <c r="O1" s="23" t="inlineStr">
        <is>
          <t>TC-FR03-17</t>
        </is>
      </c>
    </row>
    <row r="2" ht="46" customHeight="1">
      <c r="A2" s="5" t="inlineStr">
        <is>
          <t>FR-03.1</t>
        </is>
      </c>
      <c r="B2" s="3" t="inlineStr">
        <is>
          <t>Người dùng nhập email đã đăng ký; hệ thống sinh OTP 6 chữ số ngẫu nhiên và hiển thị trong môi trường demo.</t>
        </is>
      </c>
      <c r="C2" s="7">
        <f>COUNTIF(D2:O2,"X")</f>
        <v/>
      </c>
      <c r="D2" s="7" t="inlineStr">
        <is>
          <t>X</t>
        </is>
      </c>
      <c r="E2" s="7" t="inlineStr"/>
      <c r="F2" s="7" t="inlineStr"/>
      <c r="G2" s="7" t="inlineStr"/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7" t="inlineStr">
        <is>
          <t>X</t>
        </is>
      </c>
      <c r="M2" s="7" t="inlineStr"/>
      <c r="N2" s="7" t="inlineStr"/>
      <c r="O2" s="7" t="inlineStr"/>
    </row>
    <row r="3" ht="32" customHeight="1">
      <c r="A3" s="5" t="inlineStr">
        <is>
          <t>FR-03.2</t>
        </is>
      </c>
      <c r="B3" s="3" t="inlineStr">
        <is>
          <t>Bước 1 hiển thị Step Indicator, ví dụ Bước 1 / 2, và có nút Quay lại đăng nhập.</t>
        </is>
      </c>
      <c r="C3" s="7">
        <f>COUNTIF(D3:O3,"X")</f>
        <v/>
      </c>
      <c r="D3" s="7" t="inlineStr">
        <is>
          <t>X</t>
        </is>
      </c>
      <c r="E3" s="7" t="inlineStr"/>
      <c r="F3" s="7" t="inlineStr"/>
      <c r="G3" s="7" t="inlineStr">
        <is>
          <t>X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</row>
    <row r="4" ht="46" customHeight="1">
      <c r="A4" s="5" t="inlineStr">
        <is>
          <t>FR-03.3</t>
        </is>
      </c>
      <c r="B4" s="3" t="inlineStr">
        <is>
          <t>Bước 2 cho phép nhập OTP, mật khẩu mới và xác nhận mật khẩu mới; mật khẩu mới tuân thủ điều kiện FR-01.</t>
        </is>
      </c>
      <c r="C4" s="7">
        <f>COUNTIF(D4:O4,"X")</f>
        <v/>
      </c>
      <c r="D4" s="7" t="inlineStr"/>
      <c r="E4" s="7" t="inlineStr">
        <is>
          <t>X</t>
        </is>
      </c>
      <c r="F4" s="7" t="inlineStr">
        <is>
          <t>X</t>
        </is>
      </c>
      <c r="G4" s="7" t="inlineStr"/>
      <c r="H4" s="7" t="inlineStr">
        <is>
          <t>X</t>
        </is>
      </c>
      <c r="I4" s="7" t="inlineStr">
        <is>
          <t>X</t>
        </is>
      </c>
      <c r="J4" s="7" t="inlineStr">
        <is>
          <t>X</t>
        </is>
      </c>
      <c r="K4" s="7" t="inlineStr">
        <is>
          <t>X</t>
        </is>
      </c>
      <c r="L4" s="7" t="inlineStr">
        <is>
          <t>X</t>
        </is>
      </c>
      <c r="M4" s="7" t="inlineStr"/>
      <c r="N4" s="7" t="inlineStr">
        <is>
          <t>X</t>
        </is>
      </c>
      <c r="O4" s="7" t="inlineStr">
        <is>
          <t>X</t>
        </is>
      </c>
    </row>
    <row r="5" ht="32" customHeight="1">
      <c r="A5" s="5" t="inlineStr">
        <is>
          <t>FR-03.4</t>
        </is>
      </c>
      <c r="B5" s="3" t="inlineStr">
        <is>
          <t>Hệ thống từ chối khi hai trường mật khẩu mới không khớp.</t>
        </is>
      </c>
      <c r="C5" s="7">
        <f>COUNTIF(D5:O5,"X")</f>
        <v/>
      </c>
      <c r="D5" s="7" t="inlineStr"/>
      <c r="E5" s="7" t="inlineStr"/>
      <c r="F5" s="7" t="inlineStr">
        <is>
          <t>X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 ht="32" customHeight="1">
      <c r="A6" s="5" t="inlineStr">
        <is>
          <t>FR-03.5</t>
        </is>
      </c>
      <c r="B6" s="3" t="inlineStr">
        <is>
          <t>OTP chỉ hợp lệ cho email đã yêu cầu và không thể dùng cho email khác.</t>
        </is>
      </c>
      <c r="C6" s="7">
        <f>COUNTIF(D6:O6,"X")</f>
        <v/>
      </c>
      <c r="D6" s="7" t="inlineStr"/>
      <c r="E6" s="7" t="inlineStr">
        <is>
          <t>X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>
        <is>
          <t>X</t>
        </is>
      </c>
      <c r="N6" s="7" t="inlineStr"/>
      <c r="O6" s="7" t="inlineStr"/>
    </row>
  </sheetData>
  <conditionalFormatting sqref="C2:C6">
    <cfRule type="cellIs" priority="1" operator="equal" dxfId="1">
      <formula>0</formula>
    </cfRule>
  </conditionalFormatting>
  <conditionalFormatting sqref="D2:O6">
    <cfRule type="cellIs" priority="2" operator="equal" dxfId="3">
      <formula>"X"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2" customWidth="1" min="3" max="3"/>
    <col width="40" customWidth="1" min="4" max="4"/>
  </cols>
  <sheetData>
    <row r="1" ht="30" customHeight="1">
      <c r="A1" s="6" t="inlineStr">
        <is>
          <t>#</t>
        </is>
      </c>
      <c r="B1" s="6" t="inlineStr">
        <is>
          <t>Tiêu chí</t>
        </is>
      </c>
      <c r="C1" s="6" t="inlineStr">
        <is>
          <t>Kết quả</t>
        </is>
      </c>
      <c r="D1" s="6" t="inlineStr">
        <is>
          <t>Ghi chú</t>
        </is>
      </c>
    </row>
    <row r="2" ht="32" customHeight="1">
      <c r="A2" s="7" t="n">
        <v>1</v>
      </c>
      <c r="B2" s="3" t="inlineStr">
        <is>
          <t>Đạt 7 thuộc tính: chính xác, tiết kiệm, lặp lại được, truy vết được, phù hợp, độc lập, tự dọn dẹp</t>
        </is>
      </c>
      <c r="C2" s="7" t="inlineStr"/>
      <c r="D2" s="3" t="inlineStr"/>
    </row>
    <row r="3" ht="18" customHeight="1">
      <c r="A3" s="7" t="n">
        <v>2</v>
      </c>
      <c r="B3" s="3" t="inlineStr">
        <is>
          <t>Có mã/tên và mục đích gắn với yêu cầu</t>
        </is>
      </c>
      <c r="C3" s="7" t="inlineStr"/>
      <c r="D3" s="3" t="inlineStr"/>
    </row>
    <row r="4" ht="18" customHeight="1">
      <c r="A4" s="7" t="n">
        <v>3</v>
      </c>
      <c r="B4" s="3" t="inlineStr">
        <is>
          <t>Mô tả đủ thiết lập: môi trường, dữ liệu, tiền điều kiện, quyền truy cập</t>
        </is>
      </c>
      <c r="C4" s="7" t="inlineStr"/>
      <c r="D4" s="3" t="inlineStr"/>
    </row>
    <row r="5" ht="18" customHeight="1">
      <c r="A5" s="7" t="n">
        <v>4</v>
      </c>
      <c r="B5" s="3" t="inlineStr">
        <is>
          <t>Mọi hành động đều có kết quả mong đợi; ghi bằng chứng khi cần</t>
        </is>
      </c>
      <c r="C5" s="7" t="inlineStr"/>
      <c r="D5" s="3" t="inlineStr"/>
    </row>
    <row r="6" ht="18" customHeight="1">
      <c r="A6" s="7" t="n">
        <v>5</v>
      </c>
      <c r="B6" s="3" t="inlineStr">
        <is>
          <t>Câu chủ động; ≤ 15 bước; ma trận chạy ≤ 20 phút</t>
        </is>
      </c>
      <c r="C6" s="7" t="inlineStr"/>
      <c r="D6" s="3" t="inlineStr"/>
    </row>
    <row r="7" ht="18" customHeight="1">
      <c r="A7" s="7" t="n">
        <v>6</v>
      </c>
      <c r="B7" s="3" t="inlineStr">
        <is>
          <t>Thứ tự đúng theo kịch bản nghiệp vụ so với các test khác</t>
        </is>
      </c>
      <c r="C7" s="7" t="inlineStr"/>
      <c r="D7" s="3" t="inlineStr"/>
    </row>
    <row r="8" ht="18" customHeight="1">
      <c r="A8" s="7" t="n">
        <v>7</v>
      </c>
      <c r="B8" s="3" t="inlineStr">
        <is>
          <t>Theo đúng quy ước đặt tên/đánh số; có phiên bản ứng với phần mềm được test</t>
        </is>
      </c>
      <c r="C8" s="7" t="inlineStr"/>
      <c r="D8" s="3" t="inlineStr"/>
    </row>
    <row r="9" ht="18" customHeight="1">
      <c r="A9" s="7" t="n">
        <v>8</v>
      </c>
      <c r="B9" s="3" t="inlineStr">
        <is>
          <t>Được lưu trữ có kiểm soát truy cập và sao lưu (quản lý cấu hình)</t>
        </is>
      </c>
      <c r="C9" s="7" t="inlineStr"/>
      <c r="D9" s="3" t="inlineStr"/>
    </row>
  </sheetData>
  <dataValidations count="1">
    <dataValidation sqref="C2:C9" showDropDown="0" showInputMessage="0" showErrorMessage="0" allowBlank="1" type="list">
      <formula1>"Có,Không,Một phần"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2026-10-15T16:16:09Z</dcterms:created>
  <dcterms:modified xmlns:dcterms="http://purl.org/dc/terms/" xmlns:xsi="http://www.w3.org/2001/XMLSchema-instance" xsi:type="dcterms:W3CDTF">2026-10-15T16:16:09Z</dcterms:modified>
</cp:coreProperties>
</file>